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qurol\Desktop\"/>
    </mc:Choice>
  </mc:AlternateContent>
  <bookViews>
    <workbookView xWindow="0" yWindow="0" windowWidth="20490" windowHeight="7530" tabRatio="500"/>
  </bookViews>
  <sheets>
    <sheet name="README" sheetId="1" r:id="rId1"/>
    <sheet name="Warehouse_table" sheetId="2" r:id="rId2"/>
    <sheet name="Statistics by State" sheetId="3" r:id="rId3"/>
    <sheet name="Details by State" sheetId="4" r:id="rId4"/>
    <sheet name="By Capacity Range" sheetId="5" r:id="rId5"/>
  </sheets>
  <calcPr calcId="162913"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B4" i="5" l="1"/>
  <c r="B3" i="5"/>
  <c r="B2" i="5"/>
  <c r="B5" i="5" s="1"/>
  <c r="C15" i="4"/>
  <c r="B15" i="4"/>
  <c r="C14" i="4"/>
  <c r="B14" i="4"/>
  <c r="C13" i="4"/>
  <c r="B13" i="4"/>
  <c r="C12" i="4"/>
  <c r="B12" i="4"/>
  <c r="C11" i="4"/>
  <c r="B11" i="4"/>
  <c r="C10" i="4"/>
  <c r="B10" i="4"/>
  <c r="C9" i="4"/>
  <c r="B9" i="4"/>
  <c r="C8" i="4"/>
  <c r="B8" i="4"/>
  <c r="C7" i="4"/>
  <c r="B7" i="4"/>
  <c r="C6" i="4"/>
  <c r="B6" i="4"/>
  <c r="C5" i="4"/>
  <c r="B5" i="4"/>
  <c r="C4" i="4"/>
  <c r="B4" i="4"/>
  <c r="C3" i="4"/>
  <c r="B3" i="4"/>
  <c r="C2" i="4"/>
  <c r="B2" i="4"/>
  <c r="B5" i="3"/>
  <c r="D4" i="3"/>
  <c r="C4" i="3"/>
  <c r="B4" i="3"/>
  <c r="D3" i="3"/>
  <c r="D5" i="3" s="1"/>
  <c r="C3" i="3"/>
  <c r="B3" i="3"/>
  <c r="D2" i="3"/>
  <c r="C2" i="3"/>
  <c r="C5" i="3" s="1"/>
  <c r="B2" i="3"/>
</calcChain>
</file>

<file path=xl/sharedStrings.xml><?xml version="1.0" encoding="utf-8"?>
<sst xmlns="http://schemas.openxmlformats.org/spreadsheetml/2006/main" count="89" uniqueCount="59">
  <si>
    <t>Warehouse Data Analysis Project</t>
  </si>
  <si>
    <t>Overview</t>
  </si>
  <si>
    <t>This workbook analyzes 10 warehouses located across three U.S. states (Kentucky, Michigan, and Tennessee). It was built as part of the Google Data Analytics Certificate coursework to practice data cleaning, PivotTable summarization, and written data interpretation.</t>
  </si>
  <si>
    <t>Business question</t>
  </si>
  <si>
    <t>How do warehouse capacity and staffing levels compare across states, individual warehouses, and capacity ranges?</t>
  </si>
  <si>
    <t>Contents</t>
  </si>
  <si>
    <t>- Warehouse_table: cleaned source data (warehouse ID, name, capacity, employee count, state)</t>
  </si>
  <si>
    <t>- Statistics by State: total capacity, total employees, and warehouse count per state</t>
  </si>
  <si>
    <t>- Details by State: same metrics broken down per individual warehouse</t>
  </si>
  <si>
    <t>- By Capacity Range: warehouse count grouped into capacity bands (200-399, 400-599, 600-800)</t>
  </si>
  <si>
    <t>Method</t>
  </si>
  <si>
    <t>Summary tables use SUMIF/COUNTIF formulas referencing the Warehouse_table sheet, so the figures update automatically if the source data changes. Each summary sheet includes a short written analysis and conclusion based on the results.</t>
  </si>
  <si>
    <t>Key takeaway</t>
  </si>
  <si>
    <t>Tennessee leads in total warehouse count, capacity, and staffing. Michigan ranks second. Kentucky has the same number of warehouses as Michigan but noticeably lower capacity and staffing. Most warehouses fall into the 200-399 or 600-800 capacity range, with the 400-599 range being the least common.</t>
  </si>
  <si>
    <t>number</t>
  </si>
  <si>
    <t>warehouse_id</t>
  </si>
  <si>
    <t>warehouse_alias</t>
  </si>
  <si>
    <t>maximum_capacity</t>
  </si>
  <si>
    <t>employee_total</t>
  </si>
  <si>
    <t>state</t>
  </si>
  <si>
    <t>Bowling Green Warehouse</t>
  </si>
  <si>
    <t>Kentucky</t>
  </si>
  <si>
    <t>Somerset Fulfillment Center</t>
  </si>
  <si>
    <t>Frankfort Fulfillment Center</t>
  </si>
  <si>
    <t>Ann Arbor Fulfillment Center</t>
  </si>
  <si>
    <t>Michigan</t>
  </si>
  <si>
    <t>Lansing Storage Warehouse</t>
  </si>
  <si>
    <t>Lansing Fulfillment Center</t>
  </si>
  <si>
    <t>Memphis Fulfillment Center</t>
  </si>
  <si>
    <t>Tennessee</t>
  </si>
  <si>
    <t>Clarksville Warehouse</t>
  </si>
  <si>
    <t>Gatlinburg Warehouse</t>
  </si>
  <si>
    <t>Knoxville Fulfillment Center</t>
  </si>
  <si>
    <t>State</t>
  </si>
  <si>
    <t>Total Capacity</t>
  </si>
  <si>
    <t>Total Employees</t>
  </si>
  <si>
    <t>Warehouse Count</t>
  </si>
  <si>
    <t>Grand Total</t>
  </si>
  <si>
    <t>Analysis &amp; Conclusion</t>
  </si>
  <si>
    <t>Based on the PivotTable results, the warehouses are located across three states: Kentucky, Michigan, and Tennessee.</t>
  </si>
  <si>
    <t>Tennessee has the strongest overall numbers: 4 warehouses, a combined capacity of 1,990, and 57 employees in total.</t>
  </si>
  <si>
    <t>Michigan has 3 warehouses, with a combined capacity of 1,810 and 55 employees.</t>
  </si>
  <si>
    <t>Kentucky also has 3 warehouses, but its combined capacity (725) and employee count (32) are considerably lower than the other two states.</t>
  </si>
  <si>
    <t>Conclusion: Tennessee leads in warehouse count, total capacity, and total staffing. Michigan ranks second. Although Kentucky has the same number of warehouses as Michigan, its total capacity and employee count are significantly smaller - suggesting Tennessee and Michigan warehouses are, on average, larger or better resourced.</t>
  </si>
  <si>
    <t>State / Warehouse</t>
  </si>
  <si>
    <t>Based on the PivotTable results, capacity and employee count vary noticeably between individual warehouses within each state.</t>
  </si>
  <si>
    <t>In Kentucky, Bowling Green Warehouse has the largest capacity (280), while Frankfort Fulfillment Center has the fewest employees (5).</t>
  </si>
  <si>
    <t>In Michigan, Ann Arbor Fulfillment Center has the largest capacity (780), while Lansing Storage Warehouse has the most employees (22).</t>
  </si>
  <si>
    <t>In Tennessee, Memphis Fulfillment Center has the largest capacity (755) and 22 employees. Gatlinburg Warehouse has a large capacity (620) but only 6 employees.</t>
  </si>
  <si>
    <t>Conclusion: Capacity and staffing differ meaningfully from warehouse to warehouse within each state. Ann Arbor Fulfillment Center (780) and Memphis Fulfillment Center (755) are the largest warehouses by capacity. However, a large capacity does not always mean a larger staff - for example, Gatlinburg Warehouse has a large capacity but relatively few employees (6), showing that warehouse operations and resource use vary independently of size.</t>
  </si>
  <si>
    <t>Capacity Range</t>
  </si>
  <si>
    <t>200-399</t>
  </si>
  <si>
    <t>400-599</t>
  </si>
  <si>
    <t>600-800</t>
  </si>
  <si>
    <t>Based on the PivotTable results:</t>
  </si>
  <si>
    <t>The 200-399 capacity range contains 5 warehouses - the most common range.</t>
  </si>
  <si>
    <t>The 400-599 capacity range contains only 1 warehouse - the least common range.</t>
  </si>
  <si>
    <t>The 600-800 capacity range contains 4 warehouses, also a significant share of the total.</t>
  </si>
  <si>
    <t>Conclusion: Most warehouses fall into either the 200-399 or 600-800 capacity range. Only one warehouse falls into the 400-599 range. This shows that warehouse capacity is concentrated mainly at the smaller and larger ends of the scale, with mid-sized warehouses being relatively rare.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</si>
</sst>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charset val="1"/>
    </font>
    <font>
      <b/>
      <sz val="16"/>
      <color rgb="FF1F4E78"/>
      <name val="Arial"/>
      <charset val="1"/>
    </font>
    <font>
      <sz val="11"/>
      <name val="Arial"/>
      <charset val="1"/>
    </font>
    <font>
      <b/>
      <sz val="12"/>
      <color rgb="FF1F4E78"/>
      <name val="Arial"/>
      <charset val="1"/>
    </font>
    <font>
      <b/>
      <sz val="11"/>
      <color rgb="FFFFFFFF"/>
      <name val="Arial"/>
      <charset val="1"/>
    </font>
    <font>
      <b/>
      <sz val="11"/>
      <name val="Arial"/>
      <charset val="1"/>
    </font>
    <font>
      <b/>
      <sz val="12"/>
      <color rgb="FF1F4E78"/>
      <name val="Arial"/>
      <family val="2"/>
      <charset val="204"/>
    </font>
  </fonts>
  <fills count="4">
    <fill>
      <patternFill patternType="none"/>
    </fill>
    <fill>
      <patternFill patternType="gray125"/>
    </fill>
    <fill>
      <patternFill patternType="solid">
        <fgColor rgb="FF1F4E78"/>
        <bgColor rgb="FF003366"/>
      </patternFill>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4" fillId="2" borderId="1" xfId="0" applyFont="1" applyFill="1" applyBorder="1" applyAlignment="1">
      <alignment horizontal="center" wrapText="1"/>
    </xf>
    <xf numFmtId="0" fontId="0" fillId="0" borderId="1" xfId="0" applyBorder="1"/>
    <xf numFmtId="0" fontId="2" fillId="0" borderId="1" xfId="0" applyFont="1" applyBorder="1"/>
    <xf numFmtId="0" fontId="5" fillId="0" borderId="1" xfId="0" applyFont="1" applyBorder="1"/>
    <xf numFmtId="0" fontId="2" fillId="0" borderId="1" xfId="0" applyFont="1" applyBorder="1" applyAlignment="1">
      <alignment vertical="top" wrapText="1"/>
    </xf>
    <xf numFmtId="0" fontId="3" fillId="0" borderId="1" xfId="0" applyFont="1" applyBorder="1" applyAlignment="1">
      <alignment vertical="top" wrapText="1"/>
    </xf>
    <xf numFmtId="0" fontId="1" fillId="3" borderId="1" xfId="0" applyFont="1" applyFill="1" applyBorder="1" applyAlignment="1">
      <alignment vertical="top" wrapText="1"/>
    </xf>
    <xf numFmtId="0" fontId="3" fillId="3" borderId="1" xfId="0" applyFont="1" applyFill="1" applyBorder="1" applyAlignment="1">
      <alignment vertical="top" wrapText="1"/>
    </xf>
    <xf numFmtId="0" fontId="4" fillId="2" borderId="1" xfId="0" applyFont="1" applyFill="1" applyBorder="1" applyAlignment="1">
      <alignment horizontal="left"/>
    </xf>
    <xf numFmtId="0" fontId="0" fillId="0" borderId="1" xfId="0" applyBorder="1" applyAlignment="1">
      <alignment horizontal="left"/>
    </xf>
    <xf numFmtId="0" fontId="2" fillId="0" borderId="1" xfId="0" applyFont="1" applyBorder="1" applyAlignment="1">
      <alignment horizontal="left"/>
    </xf>
    <xf numFmtId="0" fontId="3" fillId="3" borderId="1" xfId="0" applyFont="1" applyFill="1" applyBorder="1"/>
    <xf numFmtId="0" fontId="6" fillId="3" borderId="1" xfId="0" applyFont="1" applyFill="1" applyBorder="1"/>
  </cellXfs>
  <cellStyles count="1">
    <cellStyle name="Обычный"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BFBFBF"/>
      <rgbColor rgb="FF878787"/>
      <rgbColor rgb="FF9999FF"/>
      <rgbColor rgb="FF993366"/>
      <rgbColor rgb="FFF9F9F9"/>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BF9000"/>
      <rgbColor rgb="FFFF6600"/>
      <rgbColor rgb="FF4F81BD"/>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Total Capacity &amp; Employees by State</a:t>
            </a:r>
          </a:p>
        </c:rich>
      </c:tx>
      <c:layout/>
      <c:overlay val="0"/>
      <c:spPr>
        <a:noFill/>
        <a:ln w="0">
          <a:noFill/>
        </a:ln>
      </c:spPr>
    </c:title>
    <c:autoTitleDeleted val="0"/>
    <c:plotArea>
      <c:layout/>
      <c:barChart>
        <c:barDir val="col"/>
        <c:grouping val="clustered"/>
        <c:varyColors val="0"/>
        <c:ser>
          <c:idx val="0"/>
          <c:order val="0"/>
          <c:tx>
            <c:strRef>
              <c:f>'Statistics by State'!$B$1</c:f>
              <c:strCache>
                <c:ptCount val="1"/>
                <c:pt idx="0">
                  <c:v>Total Capacity</c:v>
                </c:pt>
              </c:strCache>
            </c:strRef>
          </c:tx>
          <c:spPr>
            <a:solidFill>
              <a:srgbClr val="1F4E78"/>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ru-RU"/>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'Statistics by State'!$A$2:$A$4</c:f>
              <c:strCache>
                <c:ptCount val="3"/>
                <c:pt idx="0">
                  <c:v>Kentucky</c:v>
                </c:pt>
                <c:pt idx="1">
                  <c:v>Michigan</c:v>
                </c:pt>
                <c:pt idx="2">
                  <c:v>Tennessee</c:v>
                </c:pt>
              </c:strCache>
            </c:strRef>
          </c:cat>
          <c:val>
            <c:numRef>
              <c:f>'Statistics by State'!$B$2:$B$4</c:f>
              <c:numCache>
                <c:formatCode>General</c:formatCode>
                <c:ptCount val="3"/>
                <c:pt idx="0">
                  <c:v>725</c:v>
                </c:pt>
                <c:pt idx="1">
                  <c:v>1810</c:v>
                </c:pt>
                <c:pt idx="2">
                  <c:v>1990</c:v>
                </c:pt>
              </c:numCache>
            </c:numRef>
          </c:val>
          <c:extLst>
            <c:ext xmlns:c16="http://schemas.microsoft.com/office/drawing/2014/chart" uri="{C3380CC4-5D6E-409C-BE32-E72D297353CC}">
              <c16:uniqueId val="{00000000-39EC-4925-982D-BE8B34BCAD4C}"/>
            </c:ext>
          </c:extLst>
        </c:ser>
        <c:ser>
          <c:idx val="1"/>
          <c:order val="1"/>
          <c:tx>
            <c:strRef>
              <c:f>'Statistics by State'!$C$1</c:f>
              <c:strCache>
                <c:ptCount val="1"/>
                <c:pt idx="0">
                  <c:v>Total Employees</c:v>
                </c:pt>
              </c:strCache>
            </c:strRef>
          </c:tx>
          <c:spPr>
            <a:solidFill>
              <a:srgbClr val="BF9000"/>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ru-RU"/>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'Statistics by State'!$A$2:$A$4</c:f>
              <c:strCache>
                <c:ptCount val="3"/>
                <c:pt idx="0">
                  <c:v>Kentucky</c:v>
                </c:pt>
                <c:pt idx="1">
                  <c:v>Michigan</c:v>
                </c:pt>
                <c:pt idx="2">
                  <c:v>Tennessee</c:v>
                </c:pt>
              </c:strCache>
            </c:strRef>
          </c:cat>
          <c:val>
            <c:numRef>
              <c:f>'Statistics by State'!$C$2:$C$4</c:f>
              <c:numCache>
                <c:formatCode>General</c:formatCode>
                <c:ptCount val="3"/>
                <c:pt idx="0">
                  <c:v>32</c:v>
                </c:pt>
                <c:pt idx="1">
                  <c:v>55</c:v>
                </c:pt>
                <c:pt idx="2">
                  <c:v>57</c:v>
                </c:pt>
              </c:numCache>
            </c:numRef>
          </c:val>
          <c:extLst>
            <c:ext xmlns:c16="http://schemas.microsoft.com/office/drawing/2014/chart" uri="{C3380CC4-5D6E-409C-BE32-E72D297353CC}">
              <c16:uniqueId val="{00000001-39EC-4925-982D-BE8B34BCAD4C}"/>
            </c:ext>
          </c:extLst>
        </c:ser>
        <c:dLbls>
          <c:showLegendKey val="0"/>
          <c:showVal val="0"/>
          <c:showCatName val="0"/>
          <c:showSerName val="0"/>
          <c:showPercent val="0"/>
          <c:showBubbleSize val="0"/>
        </c:dLbls>
        <c:gapWidth val="150"/>
        <c:axId val="8938667"/>
        <c:axId val="98652725"/>
      </c:barChart>
      <c:catAx>
        <c:axId val="8938667"/>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State</a:t>
                </a:r>
              </a:p>
            </c:rich>
          </c:tx>
          <c:layout/>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ru-RU"/>
          </a:p>
        </c:txPr>
        <c:crossAx val="98652725"/>
        <c:crosses val="autoZero"/>
        <c:auto val="1"/>
        <c:lblAlgn val="ctr"/>
        <c:lblOffset val="100"/>
        <c:noMultiLvlLbl val="0"/>
      </c:catAx>
      <c:valAx>
        <c:axId val="98652725"/>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Value</a:t>
                </a:r>
              </a:p>
            </c:rich>
          </c:tx>
          <c:layout/>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ru-RU"/>
          </a:p>
        </c:txPr>
        <c:crossAx val="8938667"/>
        <c:crosses val="autoZero"/>
        <c:crossBetween val="between"/>
      </c:valAx>
      <c:spPr>
        <a:noFill/>
        <a:ln w="0">
          <a:noFill/>
        </a:ln>
      </c:spPr>
    </c:plotArea>
    <c:legend>
      <c:legendPos val="r"/>
      <c:layout/>
      <c:overlay val="0"/>
      <c:spPr>
        <a:noFill/>
        <a:ln w="0">
          <a:noFill/>
        </a:ln>
      </c:spPr>
      <c:txPr>
        <a:bodyPr/>
        <a:lstStyle/>
        <a:p>
          <a:pPr>
            <a:defRPr sz="1000" b="0" strike="noStrike" spc="-1">
              <a:solidFill>
                <a:srgbClr val="000000"/>
              </a:solidFill>
              <a:latin typeface="Calibri"/>
            </a:defRPr>
          </a:pPr>
          <a:endParaRPr lang="ru-RU"/>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Warehouse Capacity by State (color-coded)</a:t>
            </a:r>
          </a:p>
        </c:rich>
      </c:tx>
      <c:layout/>
      <c:overlay val="0"/>
      <c:spPr>
        <a:noFill/>
        <a:ln w="0">
          <a:noFill/>
        </a:ln>
      </c:spPr>
    </c:title>
    <c:autoTitleDeleted val="0"/>
    <c:plotArea>
      <c:layout/>
      <c:barChart>
        <c:barDir val="bar"/>
        <c:grouping val="clustered"/>
        <c:varyColors val="0"/>
        <c:ser>
          <c:idx val="0"/>
          <c:order val="0"/>
          <c:tx>
            <c:strRef>
              <c:f>Warehouse_table!$D$1</c:f>
              <c:strCache>
                <c:ptCount val="1"/>
                <c:pt idx="0">
                  <c:v>maximum_capacity</c:v>
                </c:pt>
              </c:strCache>
            </c:strRef>
          </c:tx>
          <c:spPr>
            <a:solidFill>
              <a:srgbClr val="4F81BD"/>
            </a:solidFill>
            <a:ln w="9360">
              <a:solidFill>
                <a:srgbClr val="F9F9F9"/>
              </a:solidFill>
              <a:round/>
            </a:ln>
          </c:spPr>
          <c:invertIfNegative val="0"/>
          <c:dPt>
            <c:idx val="0"/>
            <c:invertIfNegative val="0"/>
            <c:bubble3D val="0"/>
            <c:spPr>
              <a:solidFill>
                <a:srgbClr val="1F4E78"/>
              </a:solidFill>
              <a:ln w="9360">
                <a:solidFill>
                  <a:srgbClr val="F9F9F9"/>
                </a:solidFill>
                <a:round/>
              </a:ln>
            </c:spPr>
            <c:extLst>
              <c:ext xmlns:c16="http://schemas.microsoft.com/office/drawing/2014/chart" uri="{C3380CC4-5D6E-409C-BE32-E72D297353CC}">
                <c16:uniqueId val="{00000001-BC74-4617-9335-81A907ABE136}"/>
              </c:ext>
            </c:extLst>
          </c:dPt>
          <c:dPt>
            <c:idx val="1"/>
            <c:invertIfNegative val="0"/>
            <c:bubble3D val="0"/>
            <c:spPr>
              <a:solidFill>
                <a:srgbClr val="1F4E78"/>
              </a:solidFill>
              <a:ln w="9360">
                <a:solidFill>
                  <a:srgbClr val="F9F9F9"/>
                </a:solidFill>
                <a:round/>
              </a:ln>
            </c:spPr>
            <c:extLst>
              <c:ext xmlns:c16="http://schemas.microsoft.com/office/drawing/2014/chart" uri="{C3380CC4-5D6E-409C-BE32-E72D297353CC}">
                <c16:uniqueId val="{00000003-BC74-4617-9335-81A907ABE136}"/>
              </c:ext>
            </c:extLst>
          </c:dPt>
          <c:dPt>
            <c:idx val="2"/>
            <c:invertIfNegative val="0"/>
            <c:bubble3D val="0"/>
            <c:spPr>
              <a:solidFill>
                <a:srgbClr val="1F4E78"/>
              </a:solidFill>
              <a:ln w="9360">
                <a:solidFill>
                  <a:srgbClr val="F9F9F9"/>
                </a:solidFill>
                <a:round/>
              </a:ln>
            </c:spPr>
            <c:extLst>
              <c:ext xmlns:c16="http://schemas.microsoft.com/office/drawing/2014/chart" uri="{C3380CC4-5D6E-409C-BE32-E72D297353CC}">
                <c16:uniqueId val="{00000005-BC74-4617-9335-81A907ABE136}"/>
              </c:ext>
            </c:extLst>
          </c:dPt>
          <c:dPt>
            <c:idx val="3"/>
            <c:invertIfNegative val="0"/>
            <c:bubble3D val="0"/>
            <c:spPr>
              <a:solidFill>
                <a:srgbClr val="BF9000"/>
              </a:solidFill>
              <a:ln w="9360">
                <a:solidFill>
                  <a:srgbClr val="F9F9F9"/>
                </a:solidFill>
                <a:round/>
              </a:ln>
            </c:spPr>
            <c:extLst>
              <c:ext xmlns:c16="http://schemas.microsoft.com/office/drawing/2014/chart" uri="{C3380CC4-5D6E-409C-BE32-E72D297353CC}">
                <c16:uniqueId val="{00000007-BC74-4617-9335-81A907ABE136}"/>
              </c:ext>
            </c:extLst>
          </c:dPt>
          <c:dPt>
            <c:idx val="4"/>
            <c:invertIfNegative val="0"/>
            <c:bubble3D val="0"/>
            <c:spPr>
              <a:solidFill>
                <a:srgbClr val="BF9000"/>
              </a:solidFill>
              <a:ln w="9360">
                <a:solidFill>
                  <a:srgbClr val="F9F9F9"/>
                </a:solidFill>
                <a:round/>
              </a:ln>
            </c:spPr>
            <c:extLst>
              <c:ext xmlns:c16="http://schemas.microsoft.com/office/drawing/2014/chart" uri="{C3380CC4-5D6E-409C-BE32-E72D297353CC}">
                <c16:uniqueId val="{00000009-BC74-4617-9335-81A907ABE136}"/>
              </c:ext>
            </c:extLst>
          </c:dPt>
          <c:dPt>
            <c:idx val="5"/>
            <c:invertIfNegative val="0"/>
            <c:bubble3D val="0"/>
            <c:spPr>
              <a:solidFill>
                <a:srgbClr val="BF9000"/>
              </a:solidFill>
              <a:ln w="9360">
                <a:solidFill>
                  <a:srgbClr val="F9F9F9"/>
                </a:solidFill>
                <a:round/>
              </a:ln>
            </c:spPr>
            <c:extLst>
              <c:ext xmlns:c16="http://schemas.microsoft.com/office/drawing/2014/chart" uri="{C3380CC4-5D6E-409C-BE32-E72D297353CC}">
                <c16:uniqueId val="{0000000B-BC74-4617-9335-81A907ABE136}"/>
              </c:ext>
            </c:extLst>
          </c:dPt>
          <c:dPt>
            <c:idx val="6"/>
            <c:invertIfNegative val="0"/>
            <c:bubble3D val="0"/>
            <c:spPr>
              <a:solidFill>
                <a:srgbClr val="548235"/>
              </a:solidFill>
              <a:ln w="9360">
                <a:solidFill>
                  <a:srgbClr val="F9F9F9"/>
                </a:solidFill>
                <a:round/>
              </a:ln>
            </c:spPr>
            <c:extLst>
              <c:ext xmlns:c16="http://schemas.microsoft.com/office/drawing/2014/chart" uri="{C3380CC4-5D6E-409C-BE32-E72D297353CC}">
                <c16:uniqueId val="{0000000D-BC74-4617-9335-81A907ABE136}"/>
              </c:ext>
            </c:extLst>
          </c:dPt>
          <c:dPt>
            <c:idx val="7"/>
            <c:invertIfNegative val="0"/>
            <c:bubble3D val="0"/>
            <c:spPr>
              <a:solidFill>
                <a:srgbClr val="548235"/>
              </a:solidFill>
              <a:ln w="9360">
                <a:solidFill>
                  <a:srgbClr val="F9F9F9"/>
                </a:solidFill>
                <a:round/>
              </a:ln>
            </c:spPr>
            <c:extLst>
              <c:ext xmlns:c16="http://schemas.microsoft.com/office/drawing/2014/chart" uri="{C3380CC4-5D6E-409C-BE32-E72D297353CC}">
                <c16:uniqueId val="{0000000F-BC74-4617-9335-81A907ABE136}"/>
              </c:ext>
            </c:extLst>
          </c:dPt>
          <c:dPt>
            <c:idx val="8"/>
            <c:invertIfNegative val="0"/>
            <c:bubble3D val="0"/>
            <c:spPr>
              <a:solidFill>
                <a:srgbClr val="548235"/>
              </a:solidFill>
              <a:ln w="9360">
                <a:solidFill>
                  <a:srgbClr val="F9F9F9"/>
                </a:solidFill>
                <a:round/>
              </a:ln>
            </c:spPr>
            <c:extLst>
              <c:ext xmlns:c16="http://schemas.microsoft.com/office/drawing/2014/chart" uri="{C3380CC4-5D6E-409C-BE32-E72D297353CC}">
                <c16:uniqueId val="{00000011-BC74-4617-9335-81A907ABE136}"/>
              </c:ext>
            </c:extLst>
          </c:dPt>
          <c:dPt>
            <c:idx val="9"/>
            <c:invertIfNegative val="0"/>
            <c:bubble3D val="0"/>
            <c:spPr>
              <a:solidFill>
                <a:srgbClr val="548235"/>
              </a:solidFill>
              <a:ln w="9360">
                <a:solidFill>
                  <a:srgbClr val="F9F9F9"/>
                </a:solidFill>
                <a:round/>
              </a:ln>
            </c:spPr>
            <c:extLst>
              <c:ext xmlns:c16="http://schemas.microsoft.com/office/drawing/2014/chart" uri="{C3380CC4-5D6E-409C-BE32-E72D297353CC}">
                <c16:uniqueId val="{00000013-BC74-4617-9335-81A907ABE136}"/>
              </c:ext>
            </c:extLst>
          </c:dPt>
          <c:dLbls>
            <c:dLbl>
              <c:idx val="0"/>
              <c:spPr/>
              <c:txPr>
                <a:bodyPr wrap="none"/>
                <a:lstStyle/>
                <a:p>
                  <a:pPr>
                    <a:defRPr sz="1000" b="0" strike="noStrike" spc="-1">
                      <a:latin typeface="Arial"/>
                    </a:defRPr>
                  </a:pPr>
                  <a:endParaRPr lang="ru-RU"/>
                </a:p>
              </c:txPr>
              <c:showLegendKey val="0"/>
              <c:showVal val="0"/>
              <c:showCatName val="0"/>
              <c:showSerName val="0"/>
              <c:showPercent val="0"/>
              <c:showBubbleSize val="1"/>
              <c:extLst>
                <c:ext xmlns:c16="http://schemas.microsoft.com/office/drawing/2014/chart" uri="{C3380CC4-5D6E-409C-BE32-E72D297353CC}">
                  <c16:uniqueId val="{00000001-BC74-4617-9335-81A907ABE136}"/>
                </c:ext>
              </c:extLst>
            </c:dLbl>
            <c:dLbl>
              <c:idx val="1"/>
              <c:spPr/>
              <c:txPr>
                <a:bodyPr wrap="none"/>
                <a:lstStyle/>
                <a:p>
                  <a:pPr>
                    <a:defRPr sz="1000" b="0" strike="noStrike" spc="-1">
                      <a:latin typeface="Arial"/>
                    </a:defRPr>
                  </a:pPr>
                  <a:endParaRPr lang="ru-RU"/>
                </a:p>
              </c:txPr>
              <c:showLegendKey val="0"/>
              <c:showVal val="0"/>
              <c:showCatName val="0"/>
              <c:showSerName val="0"/>
              <c:showPercent val="0"/>
              <c:showBubbleSize val="1"/>
              <c:extLst>
                <c:ext xmlns:c16="http://schemas.microsoft.com/office/drawing/2014/chart" uri="{C3380CC4-5D6E-409C-BE32-E72D297353CC}">
                  <c16:uniqueId val="{00000003-BC74-4617-9335-81A907ABE136}"/>
                </c:ext>
              </c:extLst>
            </c:dLbl>
            <c:dLbl>
              <c:idx val="2"/>
              <c:spPr/>
              <c:txPr>
                <a:bodyPr wrap="none"/>
                <a:lstStyle/>
                <a:p>
                  <a:pPr>
                    <a:defRPr sz="1000" b="0" strike="noStrike" spc="-1">
                      <a:latin typeface="Arial"/>
                    </a:defRPr>
                  </a:pPr>
                  <a:endParaRPr lang="ru-RU"/>
                </a:p>
              </c:txPr>
              <c:showLegendKey val="0"/>
              <c:showVal val="0"/>
              <c:showCatName val="0"/>
              <c:showSerName val="0"/>
              <c:showPercent val="0"/>
              <c:showBubbleSize val="1"/>
              <c:extLst>
                <c:ext xmlns:c16="http://schemas.microsoft.com/office/drawing/2014/chart" uri="{C3380CC4-5D6E-409C-BE32-E72D297353CC}">
                  <c16:uniqueId val="{00000005-BC74-4617-9335-81A907ABE136}"/>
                </c:ext>
              </c:extLst>
            </c:dLbl>
            <c:dLbl>
              <c:idx val="3"/>
              <c:spPr/>
              <c:txPr>
                <a:bodyPr wrap="none"/>
                <a:lstStyle/>
                <a:p>
                  <a:pPr>
                    <a:defRPr sz="1000" b="0" strike="noStrike" spc="-1">
                      <a:latin typeface="Arial"/>
                    </a:defRPr>
                  </a:pPr>
                  <a:endParaRPr lang="ru-RU"/>
                </a:p>
              </c:txPr>
              <c:showLegendKey val="0"/>
              <c:showVal val="0"/>
              <c:showCatName val="0"/>
              <c:showSerName val="0"/>
              <c:showPercent val="0"/>
              <c:showBubbleSize val="1"/>
              <c:extLst>
                <c:ext xmlns:c16="http://schemas.microsoft.com/office/drawing/2014/chart" uri="{C3380CC4-5D6E-409C-BE32-E72D297353CC}">
                  <c16:uniqueId val="{00000007-BC74-4617-9335-81A907ABE136}"/>
                </c:ext>
              </c:extLst>
            </c:dLbl>
            <c:dLbl>
              <c:idx val="4"/>
              <c:spPr/>
              <c:txPr>
                <a:bodyPr wrap="none"/>
                <a:lstStyle/>
                <a:p>
                  <a:pPr>
                    <a:defRPr sz="1000" b="0" strike="noStrike" spc="-1">
                      <a:latin typeface="Arial"/>
                    </a:defRPr>
                  </a:pPr>
                  <a:endParaRPr lang="ru-RU"/>
                </a:p>
              </c:txPr>
              <c:showLegendKey val="0"/>
              <c:showVal val="0"/>
              <c:showCatName val="0"/>
              <c:showSerName val="0"/>
              <c:showPercent val="0"/>
              <c:showBubbleSize val="1"/>
              <c:extLst>
                <c:ext xmlns:c16="http://schemas.microsoft.com/office/drawing/2014/chart" uri="{C3380CC4-5D6E-409C-BE32-E72D297353CC}">
                  <c16:uniqueId val="{00000009-BC74-4617-9335-81A907ABE136}"/>
                </c:ext>
              </c:extLst>
            </c:dLbl>
            <c:dLbl>
              <c:idx val="5"/>
              <c:spPr/>
              <c:txPr>
                <a:bodyPr wrap="none"/>
                <a:lstStyle/>
                <a:p>
                  <a:pPr>
                    <a:defRPr sz="1000" b="0" strike="noStrike" spc="-1">
                      <a:latin typeface="Arial"/>
                    </a:defRPr>
                  </a:pPr>
                  <a:endParaRPr lang="ru-RU"/>
                </a:p>
              </c:txPr>
              <c:showLegendKey val="0"/>
              <c:showVal val="0"/>
              <c:showCatName val="0"/>
              <c:showSerName val="0"/>
              <c:showPercent val="0"/>
              <c:showBubbleSize val="1"/>
              <c:extLst>
                <c:ext xmlns:c16="http://schemas.microsoft.com/office/drawing/2014/chart" uri="{C3380CC4-5D6E-409C-BE32-E72D297353CC}">
                  <c16:uniqueId val="{0000000B-BC74-4617-9335-81A907ABE136}"/>
                </c:ext>
              </c:extLst>
            </c:dLbl>
            <c:dLbl>
              <c:idx val="6"/>
              <c:spPr/>
              <c:txPr>
                <a:bodyPr wrap="none"/>
                <a:lstStyle/>
                <a:p>
                  <a:pPr>
                    <a:defRPr sz="1000" b="0" strike="noStrike" spc="-1">
                      <a:latin typeface="Arial"/>
                    </a:defRPr>
                  </a:pPr>
                  <a:endParaRPr lang="ru-RU"/>
                </a:p>
              </c:txPr>
              <c:showLegendKey val="0"/>
              <c:showVal val="0"/>
              <c:showCatName val="0"/>
              <c:showSerName val="0"/>
              <c:showPercent val="0"/>
              <c:showBubbleSize val="1"/>
              <c:extLst>
                <c:ext xmlns:c16="http://schemas.microsoft.com/office/drawing/2014/chart" uri="{C3380CC4-5D6E-409C-BE32-E72D297353CC}">
                  <c16:uniqueId val="{0000000D-BC74-4617-9335-81A907ABE136}"/>
                </c:ext>
              </c:extLst>
            </c:dLbl>
            <c:dLbl>
              <c:idx val="7"/>
              <c:spPr/>
              <c:txPr>
                <a:bodyPr wrap="none"/>
                <a:lstStyle/>
                <a:p>
                  <a:pPr>
                    <a:defRPr sz="1000" b="0" strike="noStrike" spc="-1">
                      <a:latin typeface="Arial"/>
                    </a:defRPr>
                  </a:pPr>
                  <a:endParaRPr lang="ru-RU"/>
                </a:p>
              </c:txPr>
              <c:showLegendKey val="0"/>
              <c:showVal val="0"/>
              <c:showCatName val="0"/>
              <c:showSerName val="0"/>
              <c:showPercent val="0"/>
              <c:showBubbleSize val="1"/>
              <c:extLst>
                <c:ext xmlns:c16="http://schemas.microsoft.com/office/drawing/2014/chart" uri="{C3380CC4-5D6E-409C-BE32-E72D297353CC}">
                  <c16:uniqueId val="{0000000F-BC74-4617-9335-81A907ABE136}"/>
                </c:ext>
              </c:extLst>
            </c:dLbl>
            <c:dLbl>
              <c:idx val="8"/>
              <c:spPr/>
              <c:txPr>
                <a:bodyPr wrap="none"/>
                <a:lstStyle/>
                <a:p>
                  <a:pPr>
                    <a:defRPr sz="1000" b="0" strike="noStrike" spc="-1">
                      <a:latin typeface="Arial"/>
                    </a:defRPr>
                  </a:pPr>
                  <a:endParaRPr lang="ru-RU"/>
                </a:p>
              </c:txPr>
              <c:showLegendKey val="0"/>
              <c:showVal val="0"/>
              <c:showCatName val="0"/>
              <c:showSerName val="0"/>
              <c:showPercent val="0"/>
              <c:showBubbleSize val="1"/>
              <c:extLst>
                <c:ext xmlns:c16="http://schemas.microsoft.com/office/drawing/2014/chart" uri="{C3380CC4-5D6E-409C-BE32-E72D297353CC}">
                  <c16:uniqueId val="{00000011-BC74-4617-9335-81A907ABE136}"/>
                </c:ext>
              </c:extLst>
            </c:dLbl>
            <c:dLbl>
              <c:idx val="9"/>
              <c:spPr/>
              <c:txPr>
                <a:bodyPr wrap="none"/>
                <a:lstStyle/>
                <a:p>
                  <a:pPr>
                    <a:defRPr sz="1000" b="0" strike="noStrike" spc="-1">
                      <a:latin typeface="Arial"/>
                    </a:defRPr>
                  </a:pPr>
                  <a:endParaRPr lang="ru-RU"/>
                </a:p>
              </c:txPr>
              <c:showLegendKey val="0"/>
              <c:showVal val="0"/>
              <c:showCatName val="0"/>
              <c:showSerName val="0"/>
              <c:showPercent val="0"/>
              <c:showBubbleSize val="1"/>
              <c:extLst>
                <c:ext xmlns:c16="http://schemas.microsoft.com/office/drawing/2014/chart" uri="{C3380CC4-5D6E-409C-BE32-E72D297353CC}">
                  <c16:uniqueId val="{00000013-BC74-4617-9335-81A907ABE136}"/>
                </c:ext>
              </c:extLst>
            </c:dLbl>
            <c:spPr>
              <a:noFill/>
              <a:ln>
                <a:noFill/>
              </a:ln>
              <a:effectLst/>
            </c:spPr>
            <c:txPr>
              <a:bodyPr wrap="none"/>
              <a:lstStyle/>
              <a:p>
                <a:pPr>
                  <a:defRPr sz="1000" b="0" strike="noStrike" spc="-1">
                    <a:latin typeface="Arial"/>
                  </a:defRPr>
                </a:pPr>
                <a:endParaRPr lang="ru-RU"/>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Warehouse_table!$C$2:$C$11</c:f>
              <c:strCache>
                <c:ptCount val="10"/>
                <c:pt idx="0">
                  <c:v>Bowling Green Warehouse</c:v>
                </c:pt>
                <c:pt idx="1">
                  <c:v>Somerset Fulfillment Center</c:v>
                </c:pt>
                <c:pt idx="2">
                  <c:v>Frankfort Fulfillment Center</c:v>
                </c:pt>
                <c:pt idx="3">
                  <c:v>Ann Arbor Fulfillment Center</c:v>
                </c:pt>
                <c:pt idx="4">
                  <c:v>Lansing Storage Warehouse</c:v>
                </c:pt>
                <c:pt idx="5">
                  <c:v>Lansing Fulfillment Center</c:v>
                </c:pt>
                <c:pt idx="6">
                  <c:v>Memphis Fulfillment Center</c:v>
                </c:pt>
                <c:pt idx="7">
                  <c:v>Clarksville Warehouse</c:v>
                </c:pt>
                <c:pt idx="8">
                  <c:v>Gatlinburg Warehouse</c:v>
                </c:pt>
                <c:pt idx="9">
                  <c:v>Knoxville Fulfillment Center</c:v>
                </c:pt>
              </c:strCache>
            </c:strRef>
          </c:cat>
          <c:val>
            <c:numRef>
              <c:f>Warehouse_table!$D$2:$D$11</c:f>
              <c:numCache>
                <c:formatCode>General</c:formatCode>
                <c:ptCount val="10"/>
                <c:pt idx="0">
                  <c:v>280</c:v>
                </c:pt>
                <c:pt idx="1">
                  <c:v>210</c:v>
                </c:pt>
                <c:pt idx="2">
                  <c:v>235</c:v>
                </c:pt>
                <c:pt idx="3">
                  <c:v>780</c:v>
                </c:pt>
                <c:pt idx="4">
                  <c:v>740</c:v>
                </c:pt>
                <c:pt idx="5">
                  <c:v>290</c:v>
                </c:pt>
                <c:pt idx="6">
                  <c:v>755</c:v>
                </c:pt>
                <c:pt idx="7">
                  <c:v>400</c:v>
                </c:pt>
                <c:pt idx="8">
                  <c:v>620</c:v>
                </c:pt>
                <c:pt idx="9">
                  <c:v>215</c:v>
                </c:pt>
              </c:numCache>
            </c:numRef>
          </c:val>
          <c:extLst>
            <c:ext xmlns:c16="http://schemas.microsoft.com/office/drawing/2014/chart" uri="{C3380CC4-5D6E-409C-BE32-E72D297353CC}">
              <c16:uniqueId val="{00000014-BC74-4617-9335-81A907ABE136}"/>
            </c:ext>
          </c:extLst>
        </c:ser>
        <c:dLbls>
          <c:showLegendKey val="0"/>
          <c:showVal val="0"/>
          <c:showCatName val="0"/>
          <c:showSerName val="0"/>
          <c:showPercent val="0"/>
          <c:showBubbleSize val="0"/>
        </c:dLbls>
        <c:gapWidth val="150"/>
        <c:axId val="93031531"/>
        <c:axId val="58922476"/>
      </c:barChart>
      <c:catAx>
        <c:axId val="93031531"/>
        <c:scaling>
          <c:orientation val="minMax"/>
        </c:scaling>
        <c:delete val="0"/>
        <c:axPos val="l"/>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Capacity</a:t>
                </a:r>
              </a:p>
            </c:rich>
          </c:tx>
          <c:layout/>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ru-RU"/>
          </a:p>
        </c:txPr>
        <c:crossAx val="58922476"/>
        <c:crosses val="autoZero"/>
        <c:auto val="1"/>
        <c:lblAlgn val="ctr"/>
        <c:lblOffset val="100"/>
        <c:noMultiLvlLbl val="0"/>
      </c:catAx>
      <c:valAx>
        <c:axId val="58922476"/>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Warehouse</a:t>
                </a:r>
              </a:p>
            </c:rich>
          </c:tx>
          <c:layout/>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ru-RU"/>
          </a:p>
        </c:txPr>
        <c:crossAx val="9303153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Warehouse Count by Capacity Range</a:t>
            </a:r>
          </a:p>
        </c:rich>
      </c:tx>
      <c:layout/>
      <c:overlay val="0"/>
      <c:spPr>
        <a:noFill/>
        <a:ln w="0">
          <a:noFill/>
        </a:ln>
      </c:spPr>
    </c:title>
    <c:autoTitleDeleted val="0"/>
    <c:plotArea>
      <c:layout/>
      <c:barChart>
        <c:barDir val="col"/>
        <c:grouping val="clustered"/>
        <c:varyColors val="0"/>
        <c:ser>
          <c:idx val="0"/>
          <c:order val="0"/>
          <c:tx>
            <c:strRef>
              <c:f>'By Capacity Range'!$B$1</c:f>
              <c:strCache>
                <c:ptCount val="1"/>
                <c:pt idx="0">
                  <c:v>Warehouse Count</c:v>
                </c:pt>
              </c:strCache>
            </c:strRef>
          </c:tx>
          <c:spPr>
            <a:solidFill>
              <a:srgbClr val="1F4E78"/>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ru-RU"/>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'By Capacity Range'!$A$2:$A$4</c:f>
              <c:strCache>
                <c:ptCount val="3"/>
                <c:pt idx="0">
                  <c:v>200-399</c:v>
                </c:pt>
                <c:pt idx="1">
                  <c:v>400-599</c:v>
                </c:pt>
                <c:pt idx="2">
                  <c:v>600-800</c:v>
                </c:pt>
              </c:strCache>
            </c:strRef>
          </c:cat>
          <c:val>
            <c:numRef>
              <c:f>'By Capacity Range'!$B$2:$B$4</c:f>
              <c:numCache>
                <c:formatCode>General</c:formatCode>
                <c:ptCount val="3"/>
                <c:pt idx="0">
                  <c:v>5</c:v>
                </c:pt>
                <c:pt idx="1">
                  <c:v>1</c:v>
                </c:pt>
                <c:pt idx="2">
                  <c:v>4</c:v>
                </c:pt>
              </c:numCache>
            </c:numRef>
          </c:val>
          <c:extLst>
            <c:ext xmlns:c16="http://schemas.microsoft.com/office/drawing/2014/chart" uri="{C3380CC4-5D6E-409C-BE32-E72D297353CC}">
              <c16:uniqueId val="{00000000-ED4C-4858-8BB2-25B321F83940}"/>
            </c:ext>
          </c:extLst>
        </c:ser>
        <c:dLbls>
          <c:showLegendKey val="0"/>
          <c:showVal val="0"/>
          <c:showCatName val="0"/>
          <c:showSerName val="0"/>
          <c:showPercent val="0"/>
          <c:showBubbleSize val="0"/>
        </c:dLbls>
        <c:gapWidth val="150"/>
        <c:axId val="11091482"/>
        <c:axId val="49779631"/>
      </c:barChart>
      <c:catAx>
        <c:axId val="11091482"/>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Capacity Range</a:t>
                </a:r>
              </a:p>
            </c:rich>
          </c:tx>
          <c:layout/>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ru-RU"/>
          </a:p>
        </c:txPr>
        <c:crossAx val="49779631"/>
        <c:crosses val="autoZero"/>
        <c:auto val="1"/>
        <c:lblAlgn val="ctr"/>
        <c:lblOffset val="100"/>
        <c:noMultiLvlLbl val="0"/>
      </c:catAx>
      <c:valAx>
        <c:axId val="4977963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Warehouse Count</a:t>
                </a:r>
              </a:p>
            </c:rich>
          </c:tx>
          <c:layout/>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ru-RU"/>
          </a:p>
        </c:txPr>
        <c:crossAx val="1109148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1</xdr:row>
      <xdr:rowOff>0</xdr:rowOff>
    </xdr:from>
    <xdr:to>
      <xdr:col>14</xdr:col>
      <xdr:colOff>255960</xdr:colOff>
      <xdr:row>12</xdr:row>
      <xdr:rowOff>572400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0</xdr:row>
      <xdr:rowOff>190440</xdr:rowOff>
    </xdr:from>
    <xdr:to>
      <xdr:col>14</xdr:col>
      <xdr:colOff>364320</xdr:colOff>
      <xdr:row>18</xdr:row>
      <xdr:rowOff>20160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257175</xdr:colOff>
      <xdr:row>0</xdr:row>
      <xdr:rowOff>123825</xdr:rowOff>
    </xdr:from>
    <xdr:to>
      <xdr:col>10</xdr:col>
      <xdr:colOff>404775</xdr:colOff>
      <xdr:row>14</xdr:row>
      <xdr:rowOff>124905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9"/>
  <sheetViews>
    <sheetView showGridLines="0" tabSelected="1" zoomScaleNormal="100" workbookViewId="0">
      <selection activeCell="B8" sqref="B8"/>
    </sheetView>
  </sheetViews>
  <sheetFormatPr defaultColWidth="8.7109375" defaultRowHeight="15" x14ac:dyDescent="0.25"/>
  <cols>
    <col min="1" max="1" width="100" style="2" customWidth="1"/>
    <col min="2" max="16384" width="8.7109375" style="2"/>
  </cols>
  <sheetData>
    <row r="1" spans="1:1" ht="18" customHeight="1" x14ac:dyDescent="0.25">
      <c r="A1" s="7" t="s">
        <v>0</v>
      </c>
    </row>
    <row r="2" spans="1:1" x14ac:dyDescent="0.25">
      <c r="A2" s="5"/>
    </row>
    <row r="3" spans="1:1" ht="18" customHeight="1" x14ac:dyDescent="0.25">
      <c r="A3" s="6" t="s">
        <v>1</v>
      </c>
    </row>
    <row r="4" spans="1:1" ht="45" customHeight="1" x14ac:dyDescent="0.25">
      <c r="A4" s="5" t="s">
        <v>2</v>
      </c>
    </row>
    <row r="5" spans="1:1" x14ac:dyDescent="0.25">
      <c r="A5" s="5"/>
    </row>
    <row r="6" spans="1:1" ht="18" customHeight="1" x14ac:dyDescent="0.25">
      <c r="A6" s="8" t="s">
        <v>3</v>
      </c>
    </row>
    <row r="7" spans="1:1" ht="30" customHeight="1" x14ac:dyDescent="0.25">
      <c r="A7" s="5" t="s">
        <v>4</v>
      </c>
    </row>
    <row r="8" spans="1:1" x14ac:dyDescent="0.25">
      <c r="A8" s="5"/>
    </row>
    <row r="9" spans="1:1" ht="18" customHeight="1" x14ac:dyDescent="0.25">
      <c r="A9" s="8" t="s">
        <v>5</v>
      </c>
    </row>
    <row r="10" spans="1:1" ht="18" customHeight="1" x14ac:dyDescent="0.25">
      <c r="A10" s="5" t="s">
        <v>6</v>
      </c>
    </row>
    <row r="11" spans="1:1" ht="18" customHeight="1" x14ac:dyDescent="0.25">
      <c r="A11" s="5" t="s">
        <v>7</v>
      </c>
    </row>
    <row r="12" spans="1:1" ht="18" customHeight="1" x14ac:dyDescent="0.25">
      <c r="A12" s="5" t="s">
        <v>8</v>
      </c>
    </row>
    <row r="13" spans="1:1" ht="18" customHeight="1" x14ac:dyDescent="0.25">
      <c r="A13" s="5" t="s">
        <v>9</v>
      </c>
    </row>
    <row r="14" spans="1:1" x14ac:dyDescent="0.25">
      <c r="A14" s="5"/>
    </row>
    <row r="15" spans="1:1" ht="18" customHeight="1" x14ac:dyDescent="0.25">
      <c r="A15" s="8" t="s">
        <v>10</v>
      </c>
    </row>
    <row r="16" spans="1:1" ht="45" customHeight="1" x14ac:dyDescent="0.25">
      <c r="A16" s="5" t="s">
        <v>11</v>
      </c>
    </row>
    <row r="17" spans="1:1" x14ac:dyDescent="0.25">
      <c r="A17" s="5"/>
    </row>
    <row r="18" spans="1:1" ht="18" customHeight="1" x14ac:dyDescent="0.25">
      <c r="A18" s="8" t="s">
        <v>12</v>
      </c>
    </row>
    <row r="19" spans="1:1" ht="60" customHeight="1" x14ac:dyDescent="0.25">
      <c r="A19" s="5" t="s">
        <v>13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zoomScaleNormal="100" workbookViewId="0">
      <pane ySplit="1" topLeftCell="A2" activePane="bottomLeft" state="frozen"/>
      <selection pane="bottomLeft" activeCell="B20" sqref="B20"/>
    </sheetView>
  </sheetViews>
  <sheetFormatPr defaultColWidth="8.7109375" defaultRowHeight="15" x14ac:dyDescent="0.25"/>
  <cols>
    <col min="1" max="2" width="22" style="10" customWidth="1"/>
    <col min="3" max="3" width="30" style="10" customWidth="1"/>
    <col min="4" max="6" width="22" style="10" customWidth="1"/>
    <col min="7" max="16384" width="8.7109375" style="10"/>
  </cols>
  <sheetData>
    <row r="1" spans="1:6" x14ac:dyDescent="0.25">
      <c r="A1" s="9" t="s">
        <v>14</v>
      </c>
      <c r="B1" s="9" t="s">
        <v>15</v>
      </c>
      <c r="C1" s="9" t="s">
        <v>16</v>
      </c>
      <c r="D1" s="9" t="s">
        <v>17</v>
      </c>
      <c r="E1" s="9" t="s">
        <v>18</v>
      </c>
      <c r="F1" s="9" t="s">
        <v>19</v>
      </c>
    </row>
    <row r="2" spans="1:6" x14ac:dyDescent="0.25">
      <c r="A2" s="11">
        <v>1</v>
      </c>
      <c r="B2" s="11">
        <v>2270</v>
      </c>
      <c r="C2" s="11" t="s">
        <v>20</v>
      </c>
      <c r="D2" s="11">
        <v>280</v>
      </c>
      <c r="E2" s="11">
        <v>13</v>
      </c>
      <c r="F2" s="11" t="s">
        <v>21</v>
      </c>
    </row>
    <row r="3" spans="1:6" x14ac:dyDescent="0.25">
      <c r="A3" s="11">
        <v>2</v>
      </c>
      <c r="B3" s="11">
        <v>1543</v>
      </c>
      <c r="C3" s="11" t="s">
        <v>22</v>
      </c>
      <c r="D3" s="11">
        <v>210</v>
      </c>
      <c r="E3" s="11">
        <v>14</v>
      </c>
      <c r="F3" s="11" t="s">
        <v>21</v>
      </c>
    </row>
    <row r="4" spans="1:6" x14ac:dyDescent="0.25">
      <c r="A4" s="11">
        <v>3</v>
      </c>
      <c r="B4" s="11">
        <v>9080</v>
      </c>
      <c r="C4" s="11" t="s">
        <v>23</v>
      </c>
      <c r="D4" s="11">
        <v>235</v>
      </c>
      <c r="E4" s="11">
        <v>5</v>
      </c>
      <c r="F4" s="11" t="s">
        <v>21</v>
      </c>
    </row>
    <row r="5" spans="1:6" x14ac:dyDescent="0.25">
      <c r="A5" s="11">
        <v>4</v>
      </c>
      <c r="B5" s="11">
        <v>8118</v>
      </c>
      <c r="C5" s="11" t="s">
        <v>24</v>
      </c>
      <c r="D5" s="11">
        <v>780</v>
      </c>
      <c r="E5" s="11">
        <v>17</v>
      </c>
      <c r="F5" s="11" t="s">
        <v>25</v>
      </c>
    </row>
    <row r="6" spans="1:6" x14ac:dyDescent="0.25">
      <c r="A6" s="11">
        <v>5</v>
      </c>
      <c r="B6" s="11">
        <v>3961</v>
      </c>
      <c r="C6" s="11" t="s">
        <v>26</v>
      </c>
      <c r="D6" s="11">
        <v>740</v>
      </c>
      <c r="E6" s="11">
        <v>22</v>
      </c>
      <c r="F6" s="11" t="s">
        <v>25</v>
      </c>
    </row>
    <row r="7" spans="1:6" x14ac:dyDescent="0.25">
      <c r="A7" s="11">
        <v>6</v>
      </c>
      <c r="B7" s="11">
        <v>2666</v>
      </c>
      <c r="C7" s="11" t="s">
        <v>27</v>
      </c>
      <c r="D7" s="11">
        <v>290</v>
      </c>
      <c r="E7" s="11">
        <v>16</v>
      </c>
      <c r="F7" s="11" t="s">
        <v>25</v>
      </c>
    </row>
    <row r="8" spans="1:6" x14ac:dyDescent="0.25">
      <c r="A8" s="11">
        <v>7</v>
      </c>
      <c r="B8" s="11">
        <v>6509</v>
      </c>
      <c r="C8" s="11" t="s">
        <v>28</v>
      </c>
      <c r="D8" s="11">
        <v>755</v>
      </c>
      <c r="E8" s="11">
        <v>22</v>
      </c>
      <c r="F8" s="11" t="s">
        <v>29</v>
      </c>
    </row>
    <row r="9" spans="1:6" x14ac:dyDescent="0.25">
      <c r="A9" s="11">
        <v>8</v>
      </c>
      <c r="B9" s="11">
        <v>9831</v>
      </c>
      <c r="C9" s="11" t="s">
        <v>30</v>
      </c>
      <c r="D9" s="11">
        <v>400</v>
      </c>
      <c r="E9" s="11">
        <v>16</v>
      </c>
      <c r="F9" s="11" t="s">
        <v>29</v>
      </c>
    </row>
    <row r="10" spans="1:6" x14ac:dyDescent="0.25">
      <c r="A10" s="11">
        <v>9</v>
      </c>
      <c r="B10" s="11">
        <v>3417</v>
      </c>
      <c r="C10" s="11" t="s">
        <v>31</v>
      </c>
      <c r="D10" s="11">
        <v>620</v>
      </c>
      <c r="E10" s="11">
        <v>6</v>
      </c>
      <c r="F10" s="11" t="s">
        <v>29</v>
      </c>
    </row>
    <row r="11" spans="1:6" x14ac:dyDescent="0.25">
      <c r="A11" s="11">
        <v>10</v>
      </c>
      <c r="B11" s="11">
        <v>4338</v>
      </c>
      <c r="C11" s="11" t="s">
        <v>32</v>
      </c>
      <c r="D11" s="11">
        <v>215</v>
      </c>
      <c r="E11" s="11">
        <v>13</v>
      </c>
      <c r="F11" s="11" t="s">
        <v>29</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Views>
    <sheetView zoomScale="75" zoomScaleNormal="75" workbookViewId="0">
      <selection activeCell="A7" sqref="A7"/>
    </sheetView>
  </sheetViews>
  <sheetFormatPr defaultColWidth="8.7109375" defaultRowHeight="15" x14ac:dyDescent="0.25"/>
  <cols>
    <col min="1" max="1" width="81.140625" style="2" bestFit="1" customWidth="1"/>
    <col min="2" max="2" width="15.42578125" style="2" bestFit="1" customWidth="1"/>
    <col min="3" max="3" width="18" style="2" bestFit="1" customWidth="1"/>
    <col min="4" max="4" width="19.42578125" style="2" bestFit="1" customWidth="1"/>
    <col min="5" max="16384" width="8.7109375" style="2"/>
  </cols>
  <sheetData>
    <row r="1" spans="1:4" x14ac:dyDescent="0.25">
      <c r="A1" s="1" t="s">
        <v>33</v>
      </c>
      <c r="B1" s="1" t="s">
        <v>34</v>
      </c>
      <c r="C1" s="1" t="s">
        <v>35</v>
      </c>
      <c r="D1" s="1" t="s">
        <v>36</v>
      </c>
    </row>
    <row r="2" spans="1:4" x14ac:dyDescent="0.25">
      <c r="A2" s="3" t="s">
        <v>21</v>
      </c>
      <c r="B2" s="3">
        <f>SUMIF(Warehouse_table!$F$2:$F$11,A2,Warehouse_table!$D$2:$D$11)</f>
        <v>725</v>
      </c>
      <c r="C2" s="3">
        <f>SUMIF(Warehouse_table!$F$2:$F$11,A2,Warehouse_table!$E$2:$E$11)</f>
        <v>32</v>
      </c>
      <c r="D2" s="3">
        <f>COUNTIF(Warehouse_table!$F$2:$F$11,A2)</f>
        <v>3</v>
      </c>
    </row>
    <row r="3" spans="1:4" x14ac:dyDescent="0.25">
      <c r="A3" s="3" t="s">
        <v>25</v>
      </c>
      <c r="B3" s="3">
        <f>SUMIF(Warehouse_table!$F$2:$F$11,A3,Warehouse_table!$D$2:$D$11)</f>
        <v>1810</v>
      </c>
      <c r="C3" s="3">
        <f>SUMIF(Warehouse_table!$F$2:$F$11,A3,Warehouse_table!$E$2:$E$11)</f>
        <v>55</v>
      </c>
      <c r="D3" s="3">
        <f>COUNTIF(Warehouse_table!$F$2:$F$11,A3)</f>
        <v>3</v>
      </c>
    </row>
    <row r="4" spans="1:4" x14ac:dyDescent="0.25">
      <c r="A4" s="3" t="s">
        <v>29</v>
      </c>
      <c r="B4" s="3">
        <f>SUMIF(Warehouse_table!$F$2:$F$11,A4,Warehouse_table!$D$2:$D$11)</f>
        <v>1990</v>
      </c>
      <c r="C4" s="3">
        <f>SUMIF(Warehouse_table!$F$2:$F$11,A4,Warehouse_table!$E$2:$E$11)</f>
        <v>57</v>
      </c>
      <c r="D4" s="3">
        <f>COUNTIF(Warehouse_table!$F$2:$F$11,A4)</f>
        <v>4</v>
      </c>
    </row>
    <row r="5" spans="1:4" x14ac:dyDescent="0.25">
      <c r="A5" s="4" t="s">
        <v>37</v>
      </c>
      <c r="B5" s="4">
        <f>SUM(B2:B4)</f>
        <v>4525</v>
      </c>
      <c r="C5" s="4">
        <f>SUM(C2:C4)</f>
        <v>144</v>
      </c>
      <c r="D5" s="4">
        <f>SUM(D2:D4)</f>
        <v>10</v>
      </c>
    </row>
    <row r="7" spans="1:4" ht="15.75" x14ac:dyDescent="0.25">
      <c r="A7" s="13" t="s">
        <v>38</v>
      </c>
    </row>
    <row r="8" spans="1:4" ht="30" customHeight="1" x14ac:dyDescent="0.25">
      <c r="A8" s="5" t="s">
        <v>39</v>
      </c>
    </row>
    <row r="9" spans="1:4" ht="30" customHeight="1" x14ac:dyDescent="0.25">
      <c r="A9" s="5" t="s">
        <v>40</v>
      </c>
    </row>
    <row r="10" spans="1:4" ht="15" customHeight="1" x14ac:dyDescent="0.25">
      <c r="A10" s="5" t="s">
        <v>41</v>
      </c>
    </row>
    <row r="11" spans="1:4" ht="30" customHeight="1" x14ac:dyDescent="0.25">
      <c r="A11" s="5" t="s">
        <v>42</v>
      </c>
    </row>
    <row r="12" spans="1:4" ht="15" customHeight="1" x14ac:dyDescent="0.25">
      <c r="A12" s="5"/>
    </row>
    <row r="13" spans="1:4" ht="60" customHeight="1" x14ac:dyDescent="0.25">
      <c r="A13" s="5" t="s">
        <v>43</v>
      </c>
    </row>
  </sheetData>
  <pageMargins left="0.75" right="0.75" top="1" bottom="1" header="0.511811023622047" footer="0.511811023622047"/>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3"/>
  <sheetViews>
    <sheetView zoomScale="78" zoomScaleNormal="78" workbookViewId="0">
      <selection activeCell="A17" sqref="A17"/>
    </sheetView>
  </sheetViews>
  <sheetFormatPr defaultColWidth="8.7109375" defaultRowHeight="15" x14ac:dyDescent="0.25"/>
  <cols>
    <col min="1" max="1" width="88.28515625" style="2" bestFit="1" customWidth="1"/>
    <col min="2" max="2" width="15.42578125" style="2" bestFit="1" customWidth="1"/>
    <col min="3" max="3" width="12" style="2" bestFit="1" customWidth="1"/>
    <col min="4" max="16384" width="8.7109375" style="2"/>
  </cols>
  <sheetData>
    <row r="1" spans="1:3" ht="30" x14ac:dyDescent="0.25">
      <c r="A1" s="1" t="s">
        <v>44</v>
      </c>
      <c r="B1" s="1" t="s">
        <v>34</v>
      </c>
      <c r="C1" s="1" t="s">
        <v>35</v>
      </c>
    </row>
    <row r="2" spans="1:3" x14ac:dyDescent="0.25">
      <c r="A2" s="4" t="s">
        <v>21</v>
      </c>
      <c r="B2" s="4">
        <f>SUMIF(Warehouse_table!$F$2:$F$11,A2,Warehouse_table!$D$2:$D$11)</f>
        <v>725</v>
      </c>
      <c r="C2" s="4">
        <f>SUMIF(Warehouse_table!$F$2:$F$11,A2,Warehouse_table!$E$2:$E$11)</f>
        <v>32</v>
      </c>
    </row>
    <row r="3" spans="1:3" x14ac:dyDescent="0.25">
      <c r="A3" s="3" t="s">
        <v>20</v>
      </c>
      <c r="B3" s="3">
        <f>SUMIF(Warehouse_table!$C$2:$C$11,A3,Warehouse_table!$D$2:$D$11)</f>
        <v>280</v>
      </c>
      <c r="C3" s="3">
        <f>SUMIF(Warehouse_table!$C$2:$C$11,A3,Warehouse_table!$E$2:$E$11)</f>
        <v>13</v>
      </c>
    </row>
    <row r="4" spans="1:3" x14ac:dyDescent="0.25">
      <c r="A4" s="3" t="s">
        <v>23</v>
      </c>
      <c r="B4" s="3">
        <f>SUMIF(Warehouse_table!$C$2:$C$11,A4,Warehouse_table!$D$2:$D$11)</f>
        <v>235</v>
      </c>
      <c r="C4" s="3">
        <f>SUMIF(Warehouse_table!$C$2:$C$11,A4,Warehouse_table!$E$2:$E$11)</f>
        <v>5</v>
      </c>
    </row>
    <row r="5" spans="1:3" x14ac:dyDescent="0.25">
      <c r="A5" s="3" t="s">
        <v>22</v>
      </c>
      <c r="B5" s="3">
        <f>SUMIF(Warehouse_table!$C$2:$C$11,A5,Warehouse_table!$D$2:$D$11)</f>
        <v>210</v>
      </c>
      <c r="C5" s="3">
        <f>SUMIF(Warehouse_table!$C$2:$C$11,A5,Warehouse_table!$E$2:$E$11)</f>
        <v>14</v>
      </c>
    </row>
    <row r="6" spans="1:3" x14ac:dyDescent="0.25">
      <c r="A6" s="4" t="s">
        <v>25</v>
      </c>
      <c r="B6" s="4">
        <f>SUMIF(Warehouse_table!$F$2:$F$11,A6,Warehouse_table!$D$2:$D$11)</f>
        <v>1810</v>
      </c>
      <c r="C6" s="4">
        <f>SUMIF(Warehouse_table!$F$2:$F$11,A6,Warehouse_table!$E$2:$E$11)</f>
        <v>55</v>
      </c>
    </row>
    <row r="7" spans="1:3" x14ac:dyDescent="0.25">
      <c r="A7" s="3" t="s">
        <v>24</v>
      </c>
      <c r="B7" s="3">
        <f>SUMIF(Warehouse_table!$C$2:$C$11,A7,Warehouse_table!$D$2:$D$11)</f>
        <v>780</v>
      </c>
      <c r="C7" s="3">
        <f>SUMIF(Warehouse_table!$C$2:$C$11,A7,Warehouse_table!$E$2:$E$11)</f>
        <v>17</v>
      </c>
    </row>
    <row r="8" spans="1:3" x14ac:dyDescent="0.25">
      <c r="A8" s="3" t="s">
        <v>27</v>
      </c>
      <c r="B8" s="3">
        <f>SUMIF(Warehouse_table!$C$2:$C$11,A8,Warehouse_table!$D$2:$D$11)</f>
        <v>290</v>
      </c>
      <c r="C8" s="3">
        <f>SUMIF(Warehouse_table!$C$2:$C$11,A8,Warehouse_table!$E$2:$E$11)</f>
        <v>16</v>
      </c>
    </row>
    <row r="9" spans="1:3" x14ac:dyDescent="0.25">
      <c r="A9" s="3" t="s">
        <v>26</v>
      </c>
      <c r="B9" s="3">
        <f>SUMIF(Warehouse_table!$C$2:$C$11,A9,Warehouse_table!$D$2:$D$11)</f>
        <v>740</v>
      </c>
      <c r="C9" s="3">
        <f>SUMIF(Warehouse_table!$C$2:$C$11,A9,Warehouse_table!$E$2:$E$11)</f>
        <v>22</v>
      </c>
    </row>
    <row r="10" spans="1:3" x14ac:dyDescent="0.25">
      <c r="A10" s="4" t="s">
        <v>29</v>
      </c>
      <c r="B10" s="4">
        <f>SUMIF(Warehouse_table!$F$2:$F$11,A10,Warehouse_table!$D$2:$D$11)</f>
        <v>1990</v>
      </c>
      <c r="C10" s="4">
        <f>SUMIF(Warehouse_table!$F$2:$F$11,A10,Warehouse_table!$E$2:$E$11)</f>
        <v>57</v>
      </c>
    </row>
    <row r="11" spans="1:3" x14ac:dyDescent="0.25">
      <c r="A11" s="3" t="s">
        <v>30</v>
      </c>
      <c r="B11" s="3">
        <f>SUMIF(Warehouse_table!$C$2:$C$11,A11,Warehouse_table!$D$2:$D$11)</f>
        <v>400</v>
      </c>
      <c r="C11" s="3">
        <f>SUMIF(Warehouse_table!$C$2:$C$11,A11,Warehouse_table!$E$2:$E$11)</f>
        <v>16</v>
      </c>
    </row>
    <row r="12" spans="1:3" x14ac:dyDescent="0.25">
      <c r="A12" s="3" t="s">
        <v>31</v>
      </c>
      <c r="B12" s="3">
        <f>SUMIF(Warehouse_table!$C$2:$C$11,A12,Warehouse_table!$D$2:$D$11)</f>
        <v>620</v>
      </c>
      <c r="C12" s="3">
        <f>SUMIF(Warehouse_table!$C$2:$C$11,A12,Warehouse_table!$E$2:$E$11)</f>
        <v>6</v>
      </c>
    </row>
    <row r="13" spans="1:3" x14ac:dyDescent="0.25">
      <c r="A13" s="3" t="s">
        <v>32</v>
      </c>
      <c r="B13" s="3">
        <f>SUMIF(Warehouse_table!$C$2:$C$11,A13,Warehouse_table!$D$2:$D$11)</f>
        <v>215</v>
      </c>
      <c r="C13" s="3">
        <f>SUMIF(Warehouse_table!$C$2:$C$11,A13,Warehouse_table!$E$2:$E$11)</f>
        <v>13</v>
      </c>
    </row>
    <row r="14" spans="1:3" x14ac:dyDescent="0.25">
      <c r="A14" s="3" t="s">
        <v>28</v>
      </c>
      <c r="B14" s="3">
        <f>SUMIF(Warehouse_table!$C$2:$C$11,A14,Warehouse_table!$D$2:$D$11)</f>
        <v>755</v>
      </c>
      <c r="C14" s="3">
        <f>SUMIF(Warehouse_table!$C$2:$C$11,A14,Warehouse_table!$E$2:$E$11)</f>
        <v>22</v>
      </c>
    </row>
    <row r="15" spans="1:3" x14ac:dyDescent="0.25">
      <c r="A15" s="4" t="s">
        <v>37</v>
      </c>
      <c r="B15" s="4">
        <f>SUM(Warehouse_table!$D$2:$D$11)</f>
        <v>4525</v>
      </c>
      <c r="C15" s="4">
        <f>SUM(Warehouse_table!$E$2:$E$11)</f>
        <v>144</v>
      </c>
    </row>
    <row r="17" spans="1:1" ht="15.75" x14ac:dyDescent="0.25">
      <c r="A17" s="12" t="s">
        <v>38</v>
      </c>
    </row>
    <row r="18" spans="1:1" ht="30" customHeight="1" x14ac:dyDescent="0.25">
      <c r="A18" s="5" t="s">
        <v>45</v>
      </c>
    </row>
    <row r="19" spans="1:1" ht="30" customHeight="1" x14ac:dyDescent="0.25">
      <c r="A19" s="5" t="s">
        <v>46</v>
      </c>
    </row>
    <row r="20" spans="1:1" ht="30" customHeight="1" x14ac:dyDescent="0.25">
      <c r="A20" s="5" t="s">
        <v>47</v>
      </c>
    </row>
    <row r="21" spans="1:1" ht="30" customHeight="1" x14ac:dyDescent="0.25">
      <c r="A21" s="5" t="s">
        <v>48</v>
      </c>
    </row>
    <row r="22" spans="1:1" ht="15" customHeight="1" x14ac:dyDescent="0.25">
      <c r="A22" s="5"/>
    </row>
    <row r="23" spans="1:1" ht="75" customHeight="1" x14ac:dyDescent="0.25">
      <c r="A23" s="5" t="s">
        <v>49</v>
      </c>
    </row>
  </sheetData>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Views>
    <sheetView zoomScale="78" zoomScaleNormal="78" workbookViewId="0">
      <selection activeCell="A7" sqref="A7"/>
    </sheetView>
  </sheetViews>
  <sheetFormatPr defaultColWidth="8.7109375" defaultRowHeight="15" x14ac:dyDescent="0.25"/>
  <cols>
    <col min="1" max="1" width="84.7109375" style="2" bestFit="1" customWidth="1"/>
    <col min="2" max="2" width="19.42578125" style="2" bestFit="1" customWidth="1"/>
    <col min="3" max="16384" width="8.7109375" style="2"/>
  </cols>
  <sheetData>
    <row r="1" spans="1:2" x14ac:dyDescent="0.25">
      <c r="A1" s="1" t="s">
        <v>50</v>
      </c>
      <c r="B1" s="1" t="s">
        <v>36</v>
      </c>
    </row>
    <row r="2" spans="1:2" x14ac:dyDescent="0.25">
      <c r="A2" s="3" t="s">
        <v>51</v>
      </c>
      <c r="B2" s="3">
        <f>COUNTIFS(Warehouse_table!$D$2:$D$11,"&gt;="&amp;200,Warehouse_table!$D$2:$D$11,"&lt;"&amp;400)</f>
        <v>5</v>
      </c>
    </row>
    <row r="3" spans="1:2" x14ac:dyDescent="0.25">
      <c r="A3" s="3" t="s">
        <v>52</v>
      </c>
      <c r="B3" s="3">
        <f>COUNTIFS(Warehouse_table!$D$2:$D$11,"&gt;="&amp;400,Warehouse_table!$D$2:$D$11,"&lt;"&amp;600)</f>
        <v>1</v>
      </c>
    </row>
    <row r="4" spans="1:2" x14ac:dyDescent="0.25">
      <c r="A4" s="3" t="s">
        <v>53</v>
      </c>
      <c r="B4" s="3">
        <f>COUNTIFS(Warehouse_table!$D$2:$D$11,"&gt;="&amp;600,Warehouse_table!$D$2:$D$11,"&lt;"&amp;801)</f>
        <v>4</v>
      </c>
    </row>
    <row r="5" spans="1:2" x14ac:dyDescent="0.25">
      <c r="A5" s="4" t="s">
        <v>37</v>
      </c>
      <c r="B5" s="4">
        <f>SUM(B2:B4)</f>
        <v>10</v>
      </c>
    </row>
    <row r="7" spans="1:2" ht="15.75" x14ac:dyDescent="0.25">
      <c r="A7" s="12" t="s">
        <v>38</v>
      </c>
    </row>
    <row r="8" spans="1:2" ht="15" customHeight="1" x14ac:dyDescent="0.25">
      <c r="A8" s="5" t="s">
        <v>54</v>
      </c>
    </row>
    <row r="9" spans="1:2" ht="15" customHeight="1" x14ac:dyDescent="0.25">
      <c r="A9" s="5" t="s">
        <v>55</v>
      </c>
    </row>
    <row r="10" spans="1:2" ht="15" customHeight="1" x14ac:dyDescent="0.25">
      <c r="A10" s="5" t="s">
        <v>56</v>
      </c>
    </row>
    <row r="11" spans="1:2" ht="15" customHeight="1" x14ac:dyDescent="0.25">
      <c r="A11" s="5" t="s">
        <v>57</v>
      </c>
    </row>
    <row r="12" spans="1:2" ht="15" customHeight="1" x14ac:dyDescent="0.25">
      <c r="A12" s="5"/>
    </row>
    <row r="13" spans="1:2" ht="60" customHeight="1" x14ac:dyDescent="0.25">
      <c r="A13" s="5" t="s">
        <v>58</v>
      </c>
    </row>
  </sheetData>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Листы</vt:lpstr>
      </vt:variant>
      <vt:variant>
        <vt:i4>5</vt:i4>
      </vt:variant>
    </vt:vector>
  </HeadingPairs>
  <TitlesOfParts>
    <vt:vector size="5" baseType="lpstr">
      <vt:lpstr>README</vt:lpstr>
      <vt:lpstr>Warehouse_table</vt:lpstr>
      <vt:lpstr>Statistics by State</vt:lpstr>
      <vt:lpstr>Details by State</vt:lpstr>
      <vt:lpstr>By Capacity Range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qurol.abdujalilov99@gmail.com</cp:lastModifiedBy>
  <cp:revision>1</cp:revision>
  <dcterms:created xsi:type="dcterms:W3CDTF">2026-07-07T14:41:57Z</dcterms:created>
  <dcterms:modified xsi:type="dcterms:W3CDTF">2026-07-07T15:30:57Z</dcterms:modified>
  <dc:language>en-US</dc:language>
</cp:coreProperties>
</file>